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\ExcelVBA04Invoices\"/>
    </mc:Choice>
  </mc:AlternateContent>
  <xr:revisionPtr revIDLastSave="0" documentId="13_ncr:1_{547749A5-2E37-4042-805B-E00ECB8780FC}" xr6:coauthVersionLast="47" xr6:coauthVersionMax="47" xr10:uidLastSave="{00000000-0000-0000-0000-000000000000}"/>
  <bookViews>
    <workbookView xWindow="2410" yWindow="1050" windowWidth="16750" windowHeight="9180" tabRatio="908" firstSheet="6" activeTab="6" xr2:uid="{4CAC0AC8-EE8B-4C1F-80B9-8A77AF04C252}"/>
  </bookViews>
  <sheets>
    <sheet name="README" sheetId="1" r:id="rId1"/>
    <sheet name="請求データ" sheetId="4" r:id="rId2"/>
    <sheet name="請求データ日付つき" sheetId="44" r:id="rId3"/>
    <sheet name="請求データ取引先名つき" sheetId="58" r:id="rId4"/>
    <sheet name="取引先マスタ" sheetId="59" r:id="rId5"/>
    <sheet name="請求書ひな形" sheetId="107" r:id="rId6"/>
    <sheet name="請求書" sheetId="5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0" i="107" l="1"/>
  <c r="D49" i="107"/>
  <c r="D48" i="107"/>
  <c r="D47" i="107"/>
  <c r="D46" i="107"/>
  <c r="D45" i="107"/>
  <c r="D44" i="107"/>
  <c r="D43" i="107"/>
  <c r="D42" i="107"/>
  <c r="D41" i="107"/>
  <c r="D40" i="107"/>
  <c r="D39" i="107"/>
  <c r="D38" i="107"/>
  <c r="D37" i="107"/>
  <c r="D36" i="107"/>
  <c r="D35" i="107"/>
  <c r="D34" i="107"/>
  <c r="D33" i="107"/>
  <c r="D32" i="107"/>
  <c r="D31" i="107"/>
  <c r="D30" i="107"/>
  <c r="D29" i="107"/>
  <c r="D28" i="107"/>
  <c r="D27" i="107"/>
  <c r="D26" i="107"/>
  <c r="D25" i="107"/>
  <c r="D24" i="107"/>
  <c r="D23" i="107"/>
  <c r="D22" i="107"/>
  <c r="D21" i="107"/>
  <c r="D52" i="107" s="1"/>
  <c r="D50" i="57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5" i="4"/>
  <c r="D6" i="4"/>
  <c r="D7" i="4"/>
  <c r="D2" i="4"/>
  <c r="D3" i="4"/>
  <c r="D4" i="4"/>
  <c r="D53" i="107" l="1"/>
  <c r="D54" i="107" s="1"/>
  <c r="D52" i="57"/>
  <c r="D53" i="57" s="1"/>
  <c r="D54" i="57" s="1"/>
</calcChain>
</file>

<file path=xl/sharedStrings.xml><?xml version="1.0" encoding="utf-8"?>
<sst xmlns="http://schemas.openxmlformats.org/spreadsheetml/2006/main" count="101" uniqueCount="51">
  <si>
    <t>https://tonari-it.com/vba-manual/#toc4</t>
  </si>
  <si>
    <t>初心者がエクセルVBAを実務で使えるようになるための完全マニュアル</t>
  </si>
  <si>
    <t>髭剃り</t>
    <rPh sb="0" eb="2">
      <t>ヒゲソ</t>
    </rPh>
    <phoneticPr fontId="1"/>
  </si>
  <si>
    <t>掃除機</t>
    <rPh sb="0" eb="3">
      <t>ソウジキ</t>
    </rPh>
    <phoneticPr fontId="1"/>
  </si>
  <si>
    <t>テレビ</t>
    <phoneticPr fontId="1"/>
  </si>
  <si>
    <t>価格</t>
    <rPh sb="0" eb="2">
      <t>カカク</t>
    </rPh>
    <phoneticPr fontId="1"/>
  </si>
  <si>
    <t>数量</t>
    <rPh sb="0" eb="2">
      <t>スウリョウ</t>
    </rPh>
    <phoneticPr fontId="1"/>
  </si>
  <si>
    <t>単価</t>
    <rPh sb="0" eb="2">
      <t>タンカ</t>
    </rPh>
    <phoneticPr fontId="1"/>
  </si>
  <si>
    <t>品目</t>
    <rPh sb="0" eb="2">
      <t>ヒンモク</t>
    </rPh>
    <phoneticPr fontId="1"/>
  </si>
  <si>
    <t>備考</t>
    <rPh sb="0" eb="2">
      <t>ビコウ</t>
    </rPh>
    <phoneticPr fontId="1"/>
  </si>
  <si>
    <t>○○銀行　○○支店
普通口座　XXXXXXX
株式会社○○○○</t>
    <rPh sb="2" eb="4">
      <t>ギンコウ</t>
    </rPh>
    <rPh sb="7" eb="9">
      <t>シテン</t>
    </rPh>
    <rPh sb="10" eb="12">
      <t>フツウ</t>
    </rPh>
    <rPh sb="12" eb="14">
      <t>コウザ</t>
    </rPh>
    <rPh sb="23" eb="27">
      <t>カブシキガイシャ</t>
    </rPh>
    <phoneticPr fontId="1"/>
  </si>
  <si>
    <t>振込先</t>
    <rPh sb="0" eb="2">
      <t>フリコミ</t>
    </rPh>
    <rPh sb="2" eb="3">
      <t>サキ</t>
    </rPh>
    <phoneticPr fontId="1"/>
  </si>
  <si>
    <t>合計</t>
    <rPh sb="0" eb="2">
      <t>ゴウケイ</t>
    </rPh>
    <phoneticPr fontId="1"/>
  </si>
  <si>
    <t>消費税</t>
    <rPh sb="0" eb="3">
      <t>ショウヒゼイ</t>
    </rPh>
    <phoneticPr fontId="1"/>
  </si>
  <si>
    <t>小計</t>
    <rPh sb="0" eb="2">
      <t>ショウケイ</t>
    </rPh>
    <phoneticPr fontId="1"/>
  </si>
  <si>
    <t>ご請求金額： 円</t>
    <phoneticPr fontId="1"/>
  </si>
  <si>
    <t>お支払期限：</t>
    <rPh sb="1" eb="3">
      <t>シハライ</t>
    </rPh>
    <rPh sb="3" eb="5">
      <t>キゲン</t>
    </rPh>
    <phoneticPr fontId="1"/>
  </si>
  <si>
    <t>請求日：</t>
    <rPh sb="0" eb="2">
      <t>セイキュウ</t>
    </rPh>
    <rPh sb="2" eb="3">
      <t>ビ</t>
    </rPh>
    <phoneticPr fontId="1"/>
  </si>
  <si>
    <t>1505-XXX-01</t>
    <phoneticPr fontId="1"/>
  </si>
  <si>
    <t>No：</t>
    <phoneticPr fontId="1"/>
  </si>
  <si>
    <t>TEL：03-XXXX-XXXX</t>
    <phoneticPr fontId="1"/>
  </si>
  <si>
    <t>東京都○○区○○X-X-X</t>
    <rPh sb="0" eb="3">
      <t>トウキョウト</t>
    </rPh>
    <rPh sb="5" eb="6">
      <t>ク</t>
    </rPh>
    <phoneticPr fontId="1"/>
  </si>
  <si>
    <t>〒XXX-XXXX</t>
    <phoneticPr fontId="1"/>
  </si>
  <si>
    <t>株式会社○○○○</t>
    <phoneticPr fontId="1"/>
  </si>
  <si>
    <t>○○ビルディングX階</t>
    <rPh sb="9" eb="10">
      <t>カイ</t>
    </rPh>
    <phoneticPr fontId="1"/>
  </si>
  <si>
    <t>○○御中</t>
    <rPh sb="2" eb="4">
      <t>オンチュウ</t>
    </rPh>
    <phoneticPr fontId="1"/>
  </si>
  <si>
    <t>請求書</t>
    <rPh sb="0" eb="3">
      <t>セイキュウショ</t>
    </rPh>
    <phoneticPr fontId="1"/>
  </si>
  <si>
    <t>テレビ</t>
  </si>
  <si>
    <t>掃除機</t>
  </si>
  <si>
    <t>髭剃り</t>
  </si>
  <si>
    <t>ホームシアター</t>
  </si>
  <si>
    <t>軽自動車</t>
  </si>
  <si>
    <t>消しゴム</t>
  </si>
  <si>
    <t>品目</t>
  </si>
  <si>
    <t>単価</t>
  </si>
  <si>
    <t>数量</t>
  </si>
  <si>
    <t>価格</t>
  </si>
  <si>
    <t>納品日</t>
  </si>
  <si>
    <t>ご請求金額： 0 円</t>
  </si>
  <si>
    <t>取引先名</t>
  </si>
  <si>
    <t>ABC株式会社</t>
  </si>
  <si>
    <t>株式会社ホゲホゲ</t>
  </si>
  <si>
    <t>郵便番号</t>
  </si>
  <si>
    <t>住所1</t>
  </si>
  <si>
    <t>住所2</t>
  </si>
  <si>
    <t>163-8001</t>
  </si>
  <si>
    <t>060-0003</t>
  </si>
  <si>
    <t>北海道札幌市中央区北三条西××</t>
  </si>
  <si>
    <t>ABCビル 10階</t>
  </si>
  <si>
    <t>ホゲホゲビル 3階</t>
  </si>
  <si>
    <t>東京都新宿区西新宿〇丁目〇-〇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</si>
</sst>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¥&quot;#,##0;\-&quot;¥&quot;#,##0"/>
    <numFmt numFmtId="164" formatCode="&quot;¥&quot;#,##0;[Red]&quot;¥&quot;\-#,##0"/>
    <numFmt numFmtId="165" formatCode="&quot;¥&quot;#,##0"/>
  </numFmts>
  <fonts count="11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14"/>
      <color theme="1"/>
      <name val="Calibri"/>
      <family val="3"/>
      <charset val="128"/>
      <scheme val="minor"/>
    </font>
    <font>
      <sz val="10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sz val="12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sz val="28"/>
      <color theme="1"/>
      <name val="メイリオ"/>
      <family val="3"/>
      <charset val="128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">
    <xf numFmtId="0" fontId="0" fillId="0" borderId="0" xfId="0"/>
    <xf numFmtId="0" fontId="1" fillId="0" borderId="0" xfId="1">
      <alignment vertical="center"/>
    </xf>
    <xf numFmtId="164" fontId="1" fillId="0" borderId="0" xfId="1" applyNumberFormat="1">
      <alignment vertical="center"/>
    </xf>
    <xf numFmtId="3" fontId="1" fillId="0" borderId="0" xfId="1" applyNumberFormat="1">
      <alignment vertical="center"/>
    </xf>
    <xf numFmtId="0" fontId="2" fillId="0" borderId="1" xfId="1" applyFont="1" applyBorder="1">
      <alignment vertical="center"/>
    </xf>
    <xf numFmtId="0" fontId="3" fillId="0" borderId="2" xfId="1" applyFont="1" applyBorder="1">
      <alignment vertical="center"/>
    </xf>
    <xf numFmtId="0" fontId="3" fillId="0" borderId="3" xfId="1" applyFont="1" applyBorder="1">
      <alignment vertical="center"/>
    </xf>
    <xf numFmtId="0" fontId="3" fillId="0" borderId="4" xfId="1" applyFont="1" applyBorder="1">
      <alignment vertical="center"/>
    </xf>
    <xf numFmtId="0" fontId="4" fillId="0" borderId="0" xfId="1" applyFont="1">
      <alignment vertical="center"/>
    </xf>
    <xf numFmtId="0" fontId="3" fillId="0" borderId="4" xfId="1" applyFont="1" applyBorder="1" applyAlignment="1">
      <alignment vertical="center" wrapText="1"/>
    </xf>
    <xf numFmtId="164" fontId="5" fillId="0" borderId="1" xfId="1" applyNumberFormat="1" applyFont="1" applyBorder="1">
      <alignment vertical="center"/>
    </xf>
    <xf numFmtId="0" fontId="4" fillId="0" borderId="1" xfId="1" applyFont="1" applyBorder="1">
      <alignment vertical="center"/>
    </xf>
    <xf numFmtId="0" fontId="5" fillId="0" borderId="1" xfId="1" applyFont="1" applyBorder="1">
      <alignment vertical="center"/>
    </xf>
    <xf numFmtId="164" fontId="6" fillId="0" borderId="1" xfId="1" applyNumberFormat="1" applyFont="1" applyBorder="1">
      <alignment vertical="center"/>
    </xf>
    <xf numFmtId="0" fontId="6" fillId="0" borderId="1" xfId="1" applyFont="1" applyBorder="1">
      <alignment vertical="center"/>
    </xf>
    <xf numFmtId="0" fontId="6" fillId="0" borderId="0" xfId="1" applyFont="1">
      <alignment vertical="center"/>
    </xf>
    <xf numFmtId="164" fontId="6" fillId="0" borderId="0" xfId="1" applyNumberFormat="1" applyFont="1">
      <alignment vertical="center"/>
    </xf>
    <xf numFmtId="14" fontId="6" fillId="0" borderId="0" xfId="1" applyNumberFormat="1" applyFont="1">
      <alignment vertical="center"/>
    </xf>
    <xf numFmtId="0" fontId="5" fillId="0" borderId="1" xfId="1" applyFont="1" applyBorder="1" applyAlignment="1">
      <alignment horizontal="left" vertical="center" wrapText="1"/>
    </xf>
    <xf numFmtId="0" fontId="7" fillId="0" borderId="1" xfId="1" applyFont="1" applyBorder="1">
      <alignment vertical="center"/>
    </xf>
    <xf numFmtId="14" fontId="4" fillId="0" borderId="0" xfId="1" applyNumberFormat="1" applyFont="1" applyAlignment="1">
      <alignment horizontal="left" vertical="center"/>
    </xf>
    <xf numFmtId="0" fontId="4" fillId="0" borderId="0" xfId="1" applyFont="1" applyAlignment="1">
      <alignment horizontal="right" vertical="center"/>
    </xf>
    <xf numFmtId="0" fontId="8" fillId="0" borderId="0" xfId="1" applyFont="1" applyAlignment="1">
      <alignment horizontal="right" vertical="center"/>
    </xf>
    <xf numFmtId="0" fontId="8" fillId="0" borderId="0" xfId="1" applyFont="1">
      <alignment vertical="center"/>
    </xf>
    <xf numFmtId="165" fontId="1" fillId="0" borderId="0" xfId="1" applyNumberFormat="1">
      <alignment vertical="center"/>
    </xf>
    <xf numFmtId="0" fontId="10" fillId="2" borderId="0" xfId="0" applyFont="1" applyFill="1" applyBorder="1"/>
    <xf numFmtId="14" fontId="10" fillId="0" borderId="0" xfId="0" applyNumberFormat="1" applyFont="1" applyBorder="1"/>
    <xf numFmtId="0" fontId="10" fillId="0" borderId="0" xfId="0" applyFont="1" applyBorder="1"/>
    <xf numFmtId="14" fontId="0" fillId="0" borderId="0" xfId="0" applyNumberFormat="1"/>
    <xf numFmtId="5" fontId="0" fillId="0" borderId="0" xfId="0" applyNumberFormat="1"/>
    <xf numFmtId="165" fontId="0" fillId="0" borderId="0" xfId="0" applyNumberFormat="1"/>
    <xf numFmtId="0" fontId="9" fillId="0" borderId="0" xfId="1" applyFont="1" applyAlignment="1">
      <alignment horizontal="center" vertical="center"/>
    </xf>
  </cellXfs>
  <cellStyles count="2">
    <cellStyle name="標準" xfId="0" builtinId="0"/>
    <cellStyle name="標準 2" xfId="1" xr:uid="{C5E432C0-33F9-4DAA-8F27-2D5846C4BD7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B5D9C-97B9-4C48-9B70-8CEFA8650E73}">
  <sheetPr codeName="Sheet1"/>
  <dimension ref="A1:A2"/>
  <sheetViews>
    <sheetView workbookViewId="0">
      <selection activeCell="B7" sqref="B7"/>
    </sheetView>
  </sheetViews>
  <sheetFormatPr defaultRowHeight="14.5"/>
  <sheetData>
    <row r="1" spans="1:1">
      <c r="A1" t="s">
        <v>0</v>
      </c>
    </row>
    <row r="2" spans="1:1">
      <c r="A2" t="s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9B3FD-5FAF-4E26-B265-1866320226E0}">
  <sheetPr codeName="Sheet2"/>
  <dimension ref="A1:D7"/>
  <sheetViews>
    <sheetView zoomScale="115" zoomScaleNormal="115" workbookViewId="0">
      <selection activeCell="A7" sqref="A7"/>
    </sheetView>
  </sheetViews>
  <sheetFormatPr defaultRowHeight="14.5"/>
  <cols>
    <col min="1" max="1" width="30.90625" style="1" customWidth="1"/>
    <col min="2" max="4" width="14" style="1" customWidth="1"/>
    <col min="5" max="16384" width="8.7265625" style="1"/>
  </cols>
  <sheetData>
    <row r="1" spans="1:4" ht="18.5">
      <c r="A1" s="4" t="s">
        <v>8</v>
      </c>
      <c r="B1" s="4" t="s">
        <v>7</v>
      </c>
      <c r="C1" s="4" t="s">
        <v>6</v>
      </c>
      <c r="D1" s="4" t="s">
        <v>5</v>
      </c>
    </row>
    <row r="2" spans="1:4">
      <c r="A2" s="1" t="s">
        <v>4</v>
      </c>
      <c r="B2" s="2">
        <v>100000</v>
      </c>
      <c r="C2" s="3">
        <v>1</v>
      </c>
      <c r="D2" s="2">
        <f>B2*C2</f>
        <v>100000</v>
      </c>
    </row>
    <row r="3" spans="1:4">
      <c r="A3" s="1" t="s">
        <v>3</v>
      </c>
      <c r="B3" s="2">
        <v>50000</v>
      </c>
      <c r="C3" s="3">
        <v>5</v>
      </c>
      <c r="D3" s="2">
        <f>B3*C3</f>
        <v>250000</v>
      </c>
    </row>
    <row r="4" spans="1:4">
      <c r="A4" s="1" t="s">
        <v>2</v>
      </c>
      <c r="B4" s="2">
        <v>2500</v>
      </c>
      <c r="C4" s="3">
        <v>20</v>
      </c>
      <c r="D4" s="2">
        <f>B4*C4</f>
        <v>50000</v>
      </c>
    </row>
    <row r="5" spans="1:4">
      <c r="A5" s="1" t="s">
        <v>30</v>
      </c>
      <c r="B5" s="24">
        <v>1000000</v>
      </c>
      <c r="C5" s="1">
        <v>1</v>
      </c>
      <c r="D5" s="2">
        <f t="shared" ref="D5:D7" si="0">B5*C5</f>
        <v>1000000</v>
      </c>
    </row>
    <row r="6" spans="1:4">
      <c r="A6" s="1" t="s">
        <v>31</v>
      </c>
      <c r="B6" s="24">
        <v>600000</v>
      </c>
      <c r="C6" s="1">
        <v>12</v>
      </c>
      <c r="D6" s="2">
        <f t="shared" si="0"/>
        <v>7200000</v>
      </c>
    </row>
    <row r="7" spans="1:4">
      <c r="A7" s="1" t="s">
        <v>32</v>
      </c>
      <c r="B7" s="24">
        <v>100</v>
      </c>
      <c r="C7" s="1">
        <v>3</v>
      </c>
      <c r="D7" s="2">
        <f t="shared" si="0"/>
        <v>300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4B0E4-E5A4-4A30-B60B-2265B6F6D511}">
  <sheetPr codeName="Sheet5"/>
  <dimension ref="A1:E7"/>
  <sheetViews>
    <sheetView workbookViewId="0">
      <selection sqref="A1:E7"/>
    </sheetView>
  </sheetViews>
  <sheetFormatPr defaultRowHeight="14.5"/>
  <cols>
    <col min="1" max="1" width="14" bestFit="1" customWidth="1"/>
    <col min="2" max="2" width="14.90625" bestFit="1" customWidth="1"/>
    <col min="3" max="3" width="10.54296875" bestFit="1" customWidth="1"/>
    <col min="4" max="4" width="5" bestFit="1" customWidth="1"/>
    <col min="5" max="5" width="10.54296875" bestFit="1" customWidth="1"/>
  </cols>
  <sheetData>
    <row r="1" spans="1:5">
      <c r="A1" s="25" t="s">
        <v>37</v>
      </c>
      <c r="B1" s="25" t="s">
        <v>33</v>
      </c>
      <c r="C1" s="25" t="s">
        <v>34</v>
      </c>
      <c r="D1" s="25" t="s">
        <v>35</v>
      </c>
      <c r="E1" s="25" t="s">
        <v>36</v>
      </c>
    </row>
    <row r="2" spans="1:5">
      <c r="A2" s="26">
        <v>43097</v>
      </c>
      <c r="B2" s="27" t="s">
        <v>27</v>
      </c>
      <c r="C2" s="27">
        <v>100000</v>
      </c>
      <c r="D2" s="27">
        <v>1</v>
      </c>
      <c r="E2" s="27">
        <v>100000</v>
      </c>
    </row>
    <row r="3" spans="1:5">
      <c r="A3" s="26">
        <v>43110</v>
      </c>
      <c r="B3" s="27" t="s">
        <v>28</v>
      </c>
      <c r="C3" s="27">
        <v>50000</v>
      </c>
      <c r="D3" s="27">
        <v>5</v>
      </c>
      <c r="E3" s="27">
        <v>250000</v>
      </c>
    </row>
    <row r="4" spans="1:5">
      <c r="A4" s="26">
        <v>43125</v>
      </c>
      <c r="B4" s="27" t="s">
        <v>29</v>
      </c>
      <c r="C4" s="27">
        <v>2500</v>
      </c>
      <c r="D4" s="27">
        <v>20</v>
      </c>
      <c r="E4" s="27">
        <v>50000</v>
      </c>
    </row>
    <row r="5" spans="1:5">
      <c r="A5" s="26">
        <v>43120</v>
      </c>
      <c r="B5" s="27" t="s">
        <v>30</v>
      </c>
      <c r="C5" s="27">
        <v>1000000</v>
      </c>
      <c r="D5" s="27">
        <v>1</v>
      </c>
      <c r="E5" s="27">
        <v>1000000</v>
      </c>
    </row>
    <row r="6" spans="1:5">
      <c r="A6" s="27"/>
      <c r="B6" s="27" t="s">
        <v>31</v>
      </c>
      <c r="C6" s="27">
        <v>600000</v>
      </c>
      <c r="D6" s="27">
        <v>12</v>
      </c>
      <c r="E6" s="27">
        <v>7200000</v>
      </c>
    </row>
    <row r="7" spans="1:5">
      <c r="A7" s="26">
        <v>43131</v>
      </c>
      <c r="B7" s="27" t="s">
        <v>32</v>
      </c>
      <c r="C7" s="27">
        <v>100</v>
      </c>
      <c r="D7" s="27">
        <v>3</v>
      </c>
      <c r="E7" s="27">
        <v>300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69FAD-9F30-46CD-9D41-EC55C29A81F8}">
  <sheetPr codeName="Sheet6"/>
  <dimension ref="A1:F7"/>
  <sheetViews>
    <sheetView workbookViewId="0">
      <selection activeCell="L8" sqref="L8"/>
    </sheetView>
  </sheetViews>
  <sheetFormatPr defaultRowHeight="14.5"/>
  <cols>
    <col min="1" max="1" width="10.453125" bestFit="1" customWidth="1"/>
    <col min="2" max="2" width="17" bestFit="1" customWidth="1"/>
    <col min="3" max="3" width="14.90625" bestFit="1" customWidth="1"/>
    <col min="4" max="4" width="11" bestFit="1" customWidth="1"/>
    <col min="6" max="6" width="9.7265625" bestFit="1" customWidth="1"/>
  </cols>
  <sheetData>
    <row r="1" spans="1:6">
      <c r="A1" t="s">
        <v>37</v>
      </c>
      <c r="B1" t="s">
        <v>39</v>
      </c>
      <c r="C1" t="s">
        <v>33</v>
      </c>
      <c r="D1" t="s">
        <v>34</v>
      </c>
      <c r="E1" t="s">
        <v>35</v>
      </c>
      <c r="F1" t="s">
        <v>36</v>
      </c>
    </row>
    <row r="2" spans="1:6">
      <c r="A2" s="28">
        <v>43097</v>
      </c>
      <c r="B2" s="28" t="s">
        <v>40</v>
      </c>
      <c r="C2" t="s">
        <v>27</v>
      </c>
      <c r="D2" s="29">
        <v>100000</v>
      </c>
      <c r="E2">
        <v>1</v>
      </c>
      <c r="F2" s="30">
        <v>100000</v>
      </c>
    </row>
    <row r="3" spans="1:6">
      <c r="A3" s="28">
        <v>43110</v>
      </c>
      <c r="B3" s="28" t="s">
        <v>40</v>
      </c>
      <c r="C3" t="s">
        <v>28</v>
      </c>
      <c r="D3" s="29">
        <v>50000</v>
      </c>
      <c r="E3">
        <v>5</v>
      </c>
      <c r="F3" s="30">
        <v>250000</v>
      </c>
    </row>
    <row r="4" spans="1:6">
      <c r="A4" s="28">
        <v>43125</v>
      </c>
      <c r="B4" s="28" t="s">
        <v>40</v>
      </c>
      <c r="C4" t="s">
        <v>29</v>
      </c>
      <c r="D4" s="29">
        <v>2500</v>
      </c>
      <c r="E4">
        <v>20</v>
      </c>
      <c r="F4" s="30">
        <v>50000</v>
      </c>
    </row>
    <row r="5" spans="1:6">
      <c r="A5" s="28">
        <v>43120</v>
      </c>
      <c r="B5" s="28" t="s">
        <v>41</v>
      </c>
      <c r="C5" t="s">
        <v>30</v>
      </c>
      <c r="D5" s="29">
        <v>1000000</v>
      </c>
      <c r="E5">
        <v>1</v>
      </c>
      <c r="F5" s="30">
        <v>1000000</v>
      </c>
    </row>
    <row r="6" spans="1:6">
      <c r="A6" s="28">
        <v>43122</v>
      </c>
      <c r="B6" s="28" t="s">
        <v>41</v>
      </c>
      <c r="C6" t="s">
        <v>31</v>
      </c>
      <c r="D6" s="29">
        <v>600000</v>
      </c>
      <c r="E6">
        <v>12</v>
      </c>
      <c r="F6" s="30">
        <v>7200000</v>
      </c>
    </row>
    <row r="7" spans="1:6">
      <c r="A7" s="28">
        <v>43131</v>
      </c>
      <c r="B7" s="28" t="s">
        <v>40</v>
      </c>
      <c r="C7" t="s">
        <v>32</v>
      </c>
      <c r="D7" s="29">
        <v>100</v>
      </c>
      <c r="E7">
        <v>3</v>
      </c>
      <c r="F7" s="30">
        <v>300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9969E-C006-4738-A201-878136826138}">
  <sheetPr codeName="Sheet7"/>
  <dimension ref="A1:D3"/>
  <sheetViews>
    <sheetView workbookViewId="0">
      <selection activeCell="H10" sqref="H10"/>
    </sheetView>
  </sheetViews>
  <sheetFormatPr defaultRowHeight="14.5"/>
  <cols>
    <col min="1" max="1" width="17" bestFit="1" customWidth="1"/>
    <col min="3" max="3" width="29.90625" bestFit="1" customWidth="1"/>
    <col min="4" max="4" width="16.36328125" bestFit="1" customWidth="1"/>
  </cols>
  <sheetData>
    <row r="1" spans="1:4">
      <c r="A1" t="s">
        <v>39</v>
      </c>
      <c r="B1" t="s">
        <v>42</v>
      </c>
      <c r="C1" t="s">
        <v>43</v>
      </c>
      <c r="D1" t="s">
        <v>44</v>
      </c>
    </row>
    <row r="2" spans="1:4">
      <c r="A2" t="s">
        <v>40</v>
      </c>
      <c r="B2" t="s">
        <v>45</v>
      </c>
      <c r="C2" t="s">
        <v>50</v>
      </c>
      <c r="D2" t="s">
        <v>48</v>
      </c>
    </row>
    <row r="3" spans="1:4">
      <c r="A3" t="s">
        <v>41</v>
      </c>
      <c r="B3" t="s">
        <v>46</v>
      </c>
      <c r="C3" t="s">
        <v>47</v>
      </c>
      <c r="D3" t="s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447EA-3134-49C1-B8B5-27AC0D833877}">
  <sheetPr codeName="Sheet3"/>
  <dimension ref="A1:D60"/>
  <sheetViews>
    <sheetView showGridLines="0" topLeftCell="A41" zoomScale="85" zoomScaleNormal="85" workbookViewId="0">
      <selection activeCell="G57" sqref="G57"/>
    </sheetView>
  </sheetViews>
  <sheetFormatPr defaultRowHeight="14.5"/>
  <cols>
    <col min="1" max="1" width="46" style="1" customWidth="1"/>
    <col min="2" max="4" width="16.90625" style="1" customWidth="1"/>
    <col min="5" max="16384" width="8.7265625" style="1"/>
  </cols>
  <sheetData>
    <row r="1" spans="1:4" ht="44">
      <c r="A1" s="31" t="s">
        <v>26</v>
      </c>
      <c r="B1" s="31"/>
      <c r="C1" s="31"/>
      <c r="D1" s="31"/>
    </row>
    <row r="2" spans="1:4" ht="19">
      <c r="A2" s="8"/>
      <c r="B2" s="23"/>
      <c r="C2" s="23"/>
      <c r="D2" s="23"/>
    </row>
    <row r="3" spans="1:4" ht="19">
      <c r="A3" s="8" t="s">
        <v>25</v>
      </c>
      <c r="B3" s="8"/>
      <c r="C3" s="8"/>
      <c r="D3" s="8"/>
    </row>
    <row r="4" spans="1:4" ht="7.5" customHeight="1">
      <c r="A4" s="8"/>
      <c r="B4" s="8"/>
      <c r="C4" s="8"/>
      <c r="D4" s="8"/>
    </row>
    <row r="5" spans="1:4" ht="19">
      <c r="A5" s="8" t="s">
        <v>22</v>
      </c>
      <c r="B5" s="8"/>
      <c r="C5" s="8"/>
      <c r="D5" s="8"/>
    </row>
    <row r="6" spans="1:4" ht="19">
      <c r="A6" s="8" t="s">
        <v>21</v>
      </c>
      <c r="B6" s="8"/>
      <c r="C6" s="8"/>
      <c r="D6" s="8"/>
    </row>
    <row r="7" spans="1:4" ht="19">
      <c r="A7" s="8" t="s">
        <v>24</v>
      </c>
      <c r="B7" s="8"/>
      <c r="C7" s="8"/>
      <c r="D7" s="8"/>
    </row>
    <row r="8" spans="1:4" ht="19">
      <c r="A8" s="8"/>
      <c r="B8" s="8"/>
      <c r="D8" s="22" t="s">
        <v>23</v>
      </c>
    </row>
    <row r="9" spans="1:4" ht="7.5" customHeight="1">
      <c r="A9" s="8"/>
      <c r="B9" s="8"/>
      <c r="C9" s="8"/>
      <c r="D9" s="8"/>
    </row>
    <row r="10" spans="1:4" ht="19">
      <c r="A10" s="8"/>
      <c r="B10" s="8"/>
      <c r="D10" s="22" t="s">
        <v>22</v>
      </c>
    </row>
    <row r="11" spans="1:4" ht="19">
      <c r="A11" s="8"/>
      <c r="B11" s="8"/>
      <c r="D11" s="22" t="s">
        <v>21</v>
      </c>
    </row>
    <row r="12" spans="1:4" ht="19">
      <c r="A12" s="8"/>
      <c r="B12" s="8"/>
      <c r="D12" s="22" t="s">
        <v>20</v>
      </c>
    </row>
    <row r="13" spans="1:4" ht="7.5" customHeight="1">
      <c r="A13" s="8"/>
      <c r="B13" s="8"/>
      <c r="C13" s="8"/>
      <c r="D13" s="8"/>
    </row>
    <row r="14" spans="1:4" ht="19">
      <c r="A14" s="8"/>
      <c r="B14" s="8"/>
      <c r="C14" s="21" t="s">
        <v>19</v>
      </c>
      <c r="D14" s="8" t="s">
        <v>18</v>
      </c>
    </row>
    <row r="15" spans="1:4" ht="19">
      <c r="A15" s="8"/>
      <c r="B15" s="8"/>
      <c r="C15" s="21" t="s">
        <v>17</v>
      </c>
      <c r="D15" s="20">
        <v>43131</v>
      </c>
    </row>
    <row r="16" spans="1:4" ht="19">
      <c r="A16" s="8"/>
      <c r="B16" s="8"/>
      <c r="C16" s="21" t="s">
        <v>16</v>
      </c>
      <c r="D16" s="20">
        <v>43159</v>
      </c>
    </row>
    <row r="17" spans="1:4" ht="19">
      <c r="A17" s="8"/>
      <c r="B17" s="8"/>
      <c r="C17" s="8"/>
      <c r="D17" s="8"/>
    </row>
    <row r="18" spans="1:4" ht="25.5">
      <c r="A18" s="19" t="s">
        <v>15</v>
      </c>
      <c r="B18" s="11"/>
      <c r="C18" s="11"/>
      <c r="D18" s="11"/>
    </row>
    <row r="19" spans="1:4" ht="19">
      <c r="A19" s="8"/>
      <c r="B19" s="8"/>
      <c r="C19" s="8"/>
      <c r="D19" s="8"/>
    </row>
    <row r="20" spans="1:4" ht="22.5">
      <c r="A20" s="18" t="s">
        <v>8</v>
      </c>
      <c r="B20" s="18" t="s">
        <v>7</v>
      </c>
      <c r="C20" s="18" t="s">
        <v>6</v>
      </c>
      <c r="D20" s="18" t="s">
        <v>5</v>
      </c>
    </row>
    <row r="21" spans="1:4" ht="16">
      <c r="A21" s="17"/>
      <c r="B21" s="16"/>
      <c r="C21" s="15"/>
      <c r="D21" s="16">
        <f t="shared" ref="D21:D50" si="0">B21*C21</f>
        <v>0</v>
      </c>
    </row>
    <row r="22" spans="1:4" ht="16">
      <c r="A22" s="17"/>
      <c r="B22" s="16"/>
      <c r="C22" s="15"/>
      <c r="D22" s="16">
        <f t="shared" si="0"/>
        <v>0</v>
      </c>
    </row>
    <row r="23" spans="1:4" ht="16">
      <c r="A23" s="17"/>
      <c r="B23" s="16"/>
      <c r="C23" s="15"/>
      <c r="D23" s="16">
        <f t="shared" si="0"/>
        <v>0</v>
      </c>
    </row>
    <row r="24" spans="1:4" ht="16">
      <c r="A24" s="17"/>
      <c r="B24" s="16"/>
      <c r="C24" s="15"/>
      <c r="D24" s="16">
        <f t="shared" si="0"/>
        <v>0</v>
      </c>
    </row>
    <row r="25" spans="1:4" ht="16">
      <c r="A25" s="17"/>
      <c r="B25" s="16"/>
      <c r="C25" s="15"/>
      <c r="D25" s="16">
        <f t="shared" si="0"/>
        <v>0</v>
      </c>
    </row>
    <row r="26" spans="1:4" ht="16">
      <c r="A26" s="17"/>
      <c r="B26" s="16"/>
      <c r="C26" s="15"/>
      <c r="D26" s="16">
        <f t="shared" si="0"/>
        <v>0</v>
      </c>
    </row>
    <row r="27" spans="1:4" ht="16">
      <c r="A27" s="17"/>
      <c r="B27" s="16"/>
      <c r="C27" s="15"/>
      <c r="D27" s="16">
        <f t="shared" si="0"/>
        <v>0</v>
      </c>
    </row>
    <row r="28" spans="1:4" ht="16">
      <c r="A28" s="17"/>
      <c r="B28" s="16"/>
      <c r="C28" s="15"/>
      <c r="D28" s="16">
        <f t="shared" si="0"/>
        <v>0</v>
      </c>
    </row>
    <row r="29" spans="1:4" ht="16">
      <c r="A29" s="17"/>
      <c r="B29" s="16"/>
      <c r="C29" s="15"/>
      <c r="D29" s="16">
        <f t="shared" si="0"/>
        <v>0</v>
      </c>
    </row>
    <row r="30" spans="1:4" ht="16">
      <c r="A30" s="17"/>
      <c r="B30" s="16"/>
      <c r="C30" s="15"/>
      <c r="D30" s="16">
        <f t="shared" si="0"/>
        <v>0</v>
      </c>
    </row>
    <row r="31" spans="1:4" ht="16">
      <c r="A31" s="17"/>
      <c r="B31" s="16"/>
      <c r="C31" s="15"/>
      <c r="D31" s="16">
        <f t="shared" si="0"/>
        <v>0</v>
      </c>
    </row>
    <row r="32" spans="1:4" ht="16">
      <c r="A32" s="17"/>
      <c r="B32" s="16"/>
      <c r="C32" s="15"/>
      <c r="D32" s="16">
        <f t="shared" si="0"/>
        <v>0</v>
      </c>
    </row>
    <row r="33" spans="1:4" ht="16">
      <c r="A33" s="17"/>
      <c r="B33" s="16"/>
      <c r="C33" s="15"/>
      <c r="D33" s="16">
        <f t="shared" si="0"/>
        <v>0</v>
      </c>
    </row>
    <row r="34" spans="1:4" ht="16">
      <c r="A34" s="17"/>
      <c r="B34" s="16"/>
      <c r="C34" s="15"/>
      <c r="D34" s="16">
        <f t="shared" si="0"/>
        <v>0</v>
      </c>
    </row>
    <row r="35" spans="1:4" ht="16">
      <c r="A35" s="17"/>
      <c r="B35" s="16"/>
      <c r="C35" s="15"/>
      <c r="D35" s="16">
        <f t="shared" si="0"/>
        <v>0</v>
      </c>
    </row>
    <row r="36" spans="1:4" ht="16">
      <c r="A36" s="17"/>
      <c r="B36" s="16"/>
      <c r="C36" s="15"/>
      <c r="D36" s="16">
        <f t="shared" si="0"/>
        <v>0</v>
      </c>
    </row>
    <row r="37" spans="1:4" ht="16">
      <c r="A37" s="17"/>
      <c r="B37" s="16"/>
      <c r="C37" s="15"/>
      <c r="D37" s="16">
        <f t="shared" si="0"/>
        <v>0</v>
      </c>
    </row>
    <row r="38" spans="1:4" ht="16">
      <c r="A38" s="17"/>
      <c r="B38" s="16"/>
      <c r="C38" s="15"/>
      <c r="D38" s="16">
        <f t="shared" si="0"/>
        <v>0</v>
      </c>
    </row>
    <row r="39" spans="1:4" ht="16">
      <c r="A39" s="17"/>
      <c r="B39" s="16"/>
      <c r="C39" s="15"/>
      <c r="D39" s="16">
        <f t="shared" si="0"/>
        <v>0</v>
      </c>
    </row>
    <row r="40" spans="1:4" ht="16">
      <c r="A40" s="17"/>
      <c r="B40" s="16"/>
      <c r="C40" s="15"/>
      <c r="D40" s="16">
        <f t="shared" si="0"/>
        <v>0</v>
      </c>
    </row>
    <row r="41" spans="1:4" ht="16">
      <c r="A41" s="17"/>
      <c r="B41" s="16"/>
      <c r="C41" s="15"/>
      <c r="D41" s="16">
        <f t="shared" si="0"/>
        <v>0</v>
      </c>
    </row>
    <row r="42" spans="1:4" ht="16">
      <c r="A42" s="17"/>
      <c r="B42" s="16"/>
      <c r="C42" s="15"/>
      <c r="D42" s="16">
        <f t="shared" si="0"/>
        <v>0</v>
      </c>
    </row>
    <row r="43" spans="1:4" ht="16">
      <c r="A43" s="17"/>
      <c r="B43" s="16"/>
      <c r="C43" s="15"/>
      <c r="D43" s="16">
        <f t="shared" si="0"/>
        <v>0</v>
      </c>
    </row>
    <row r="44" spans="1:4" ht="16">
      <c r="A44" s="17"/>
      <c r="B44" s="16"/>
      <c r="C44" s="15"/>
      <c r="D44" s="16">
        <f t="shared" si="0"/>
        <v>0</v>
      </c>
    </row>
    <row r="45" spans="1:4" ht="16">
      <c r="A45" s="17"/>
      <c r="B45" s="16"/>
      <c r="C45" s="15"/>
      <c r="D45" s="16">
        <f t="shared" si="0"/>
        <v>0</v>
      </c>
    </row>
    <row r="46" spans="1:4" ht="16">
      <c r="A46" s="17"/>
      <c r="B46" s="16"/>
      <c r="C46" s="15"/>
      <c r="D46" s="16">
        <f t="shared" si="0"/>
        <v>0</v>
      </c>
    </row>
    <row r="47" spans="1:4" ht="16">
      <c r="A47" s="17"/>
      <c r="B47" s="16"/>
      <c r="C47" s="15"/>
      <c r="D47" s="16">
        <f t="shared" si="0"/>
        <v>0</v>
      </c>
    </row>
    <row r="48" spans="1:4" ht="16">
      <c r="A48" s="17"/>
      <c r="B48" s="16"/>
      <c r="C48" s="15"/>
      <c r="D48" s="16">
        <f t="shared" si="0"/>
        <v>0</v>
      </c>
    </row>
    <row r="49" spans="1:4" ht="16">
      <c r="A49" s="17"/>
      <c r="B49" s="16"/>
      <c r="C49" s="15"/>
      <c r="D49" s="16">
        <f t="shared" si="0"/>
        <v>0</v>
      </c>
    </row>
    <row r="50" spans="1:4" ht="16">
      <c r="A50" s="17"/>
      <c r="B50" s="16"/>
      <c r="C50" s="15"/>
      <c r="D50" s="16">
        <f t="shared" si="0"/>
        <v>0</v>
      </c>
    </row>
    <row r="51" spans="1:4" ht="7.5" customHeight="1">
      <c r="A51" s="15"/>
      <c r="B51" s="16"/>
      <c r="C51" s="15"/>
      <c r="D51" s="15"/>
    </row>
    <row r="52" spans="1:4" ht="16">
      <c r="A52" s="15"/>
      <c r="B52" s="14" t="s">
        <v>14</v>
      </c>
      <c r="C52" s="14"/>
      <c r="D52" s="13">
        <f>SUM(D21:D51)</f>
        <v>0</v>
      </c>
    </row>
    <row r="53" spans="1:4" ht="16">
      <c r="A53" s="15"/>
      <c r="B53" s="14" t="s">
        <v>13</v>
      </c>
      <c r="C53" s="14"/>
      <c r="D53" s="13">
        <f>ROUNDDOWN(D52*0.08,0)</f>
        <v>0</v>
      </c>
    </row>
    <row r="54" spans="1:4" ht="22.5">
      <c r="A54" s="8"/>
      <c r="B54" s="12" t="s">
        <v>12</v>
      </c>
      <c r="C54" s="11"/>
      <c r="D54" s="10">
        <f>D52+D53</f>
        <v>0</v>
      </c>
    </row>
    <row r="55" spans="1:4" ht="19">
      <c r="A55" s="8"/>
      <c r="B55" s="8"/>
      <c r="C55" s="8"/>
      <c r="D55" s="8"/>
    </row>
    <row r="56" spans="1:4" ht="19">
      <c r="A56" s="8" t="s">
        <v>11</v>
      </c>
      <c r="B56" s="8"/>
      <c r="C56" s="8"/>
      <c r="D56" s="8"/>
    </row>
    <row r="57" spans="1:4" ht="78" customHeight="1">
      <c r="A57" s="9" t="s">
        <v>10</v>
      </c>
      <c r="B57" s="6"/>
      <c r="C57" s="6"/>
      <c r="D57" s="5"/>
    </row>
    <row r="58" spans="1:4" ht="19">
      <c r="A58" s="8"/>
      <c r="B58" s="8"/>
      <c r="C58" s="8"/>
      <c r="D58" s="8"/>
    </row>
    <row r="59" spans="1:4" ht="19">
      <c r="A59" s="8" t="s">
        <v>9</v>
      </c>
      <c r="B59" s="8"/>
      <c r="C59" s="8"/>
      <c r="D59" s="8"/>
    </row>
    <row r="60" spans="1:4" ht="57" customHeight="1">
      <c r="A60" s="7"/>
      <c r="B60" s="6"/>
      <c r="C60" s="6"/>
      <c r="D60" s="5"/>
    </row>
  </sheetData>
  <mergeCells count="1">
    <mergeCell ref="A1:D1"/>
  </mergeCells>
  <pageMargins left="0.7" right="0.7" top="0.75" bottom="0.75" header="0.3" footer="0.3"/>
  <pageSetup paperSize="9" scale="90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963A3-C5F5-4882-B28D-0CED16DB9F30}">
  <sheetPr codeName="Sheet4"/>
  <dimension ref="A1:D60"/>
  <sheetViews>
    <sheetView showGridLines="0" tabSelected="1" zoomScale="85" zoomScaleNormal="85" workbookViewId="0">
      <selection activeCell="H12" sqref="H12"/>
    </sheetView>
  </sheetViews>
  <sheetFormatPr defaultRowHeight="14.5"/>
  <cols>
    <col min="1" max="1" width="46" style="1" customWidth="1"/>
    <col min="2" max="4" width="16.90625" style="1" customWidth="1"/>
    <col min="5" max="16384" width="8.7265625" style="1"/>
  </cols>
  <sheetData>
    <row r="1" spans="1:4" ht="44">
      <c r="A1" s="31" t="s">
        <v>26</v>
      </c>
      <c r="B1" s="31"/>
      <c r="C1" s="31"/>
      <c r="D1" s="31"/>
    </row>
    <row r="2" spans="1:4" ht="19">
      <c r="A2" s="8"/>
      <c r="B2" s="23"/>
      <c r="C2" s="23"/>
      <c r="D2" s="23"/>
    </row>
    <row r="3" spans="1:4" ht="19">
      <c r="A3" s="8" t="s">
        <v>25</v>
      </c>
      <c r="B3" s="8"/>
      <c r="C3" s="8"/>
      <c r="D3" s="8"/>
    </row>
    <row r="4" spans="1:4" ht="7.5" customHeight="1">
      <c r="A4" s="8"/>
      <c r="B4" s="8"/>
      <c r="C4" s="8"/>
      <c r="D4" s="8"/>
    </row>
    <row r="5" spans="1:4" ht="19">
      <c r="A5" s="8" t="s">
        <v>22</v>
      </c>
      <c r="B5" s="8"/>
      <c r="C5" s="8"/>
      <c r="D5" s="8"/>
    </row>
    <row r="6" spans="1:4" ht="19">
      <c r="A6" s="8" t="s">
        <v>21</v>
      </c>
      <c r="B6" s="8"/>
      <c r="C6" s="8"/>
      <c r="D6" s="8"/>
    </row>
    <row r="7" spans="1:4" ht="19">
      <c r="A7" s="8" t="s">
        <v>24</v>
      </c>
      <c r="B7" s="8"/>
      <c r="C7" s="8"/>
      <c r="D7" s="8"/>
    </row>
    <row r="8" spans="1:4" ht="19">
      <c r="A8" s="8"/>
      <c r="B8" s="8"/>
      <c r="D8" s="22" t="s">
        <v>23</v>
      </c>
    </row>
    <row r="9" spans="1:4" ht="7.5" customHeight="1">
      <c r="A9" s="8"/>
      <c r="B9" s="8"/>
      <c r="C9" s="8"/>
      <c r="D9" s="8"/>
    </row>
    <row r="10" spans="1:4" ht="19">
      <c r="A10" s="8"/>
      <c r="B10" s="8"/>
      <c r="D10" s="22" t="s">
        <v>22</v>
      </c>
    </row>
    <row r="11" spans="1:4" ht="19">
      <c r="A11" s="8"/>
      <c r="B11" s="8"/>
      <c r="D11" s="22" t="s">
        <v>21</v>
      </c>
    </row>
    <row r="12" spans="1:4" ht="19">
      <c r="A12" s="8"/>
      <c r="B12" s="8"/>
      <c r="D12" s="22" t="s">
        <v>20</v>
      </c>
    </row>
    <row r="13" spans="1:4" ht="7.5" customHeight="1">
      <c r="A13" s="8"/>
      <c r="B13" s="8"/>
      <c r="C13" s="8"/>
      <c r="D13" s="8"/>
    </row>
    <row r="14" spans="1:4" ht="19">
      <c r="A14" s="8"/>
      <c r="B14" s="8"/>
      <c r="C14" s="21" t="s">
        <v>19</v>
      </c>
      <c r="D14" s="8" t="s">
        <v>18</v>
      </c>
    </row>
    <row r="15" spans="1:4" ht="19">
      <c r="A15" s="8"/>
      <c r="B15" s="8"/>
      <c r="C15" s="21" t="s">
        <v>17</v>
      </c>
      <c r="D15" s="20">
        <v>44592</v>
      </c>
    </row>
    <row r="16" spans="1:4" ht="19">
      <c r="A16" s="8"/>
      <c r="B16" s="8"/>
      <c r="C16" s="21" t="s">
        <v>16</v>
      </c>
      <c r="D16" s="20">
        <v>44620</v>
      </c>
    </row>
    <row r="17" spans="1:4" ht="19">
      <c r="A17" s="8"/>
      <c r="B17" s="8"/>
      <c r="C17" s="8"/>
      <c r="D17" s="8"/>
    </row>
    <row r="18" spans="1:4" ht="25.5">
      <c r="A18" s="19" t="s">
        <v>38</v>
      </c>
      <c r="B18" s="11"/>
      <c r="C18" s="11"/>
      <c r="D18" s="11"/>
    </row>
    <row r="19" spans="1:4" ht="19">
      <c r="A19" s="8"/>
      <c r="B19" s="8"/>
      <c r="C19" s="8"/>
      <c r="D19" s="8"/>
    </row>
    <row r="20" spans="1:4" ht="22.5">
      <c r="A20" s="18" t="s">
        <v>8</v>
      </c>
      <c r="B20" s="18" t="s">
        <v>7</v>
      </c>
      <c r="C20" s="18" t="s">
        <v>6</v>
      </c>
      <c r="D20" s="18" t="s">
        <v>5</v>
      </c>
    </row>
    <row r="21" spans="1:4" ht="16" hidden="1">
      <c r="A21" s="17"/>
      <c r="B21" s="16"/>
      <c r="C21" s="15"/>
      <c r="D21" s="16">
        <f t="shared" ref="D21:D50" si="0">B21*C21</f>
        <v>0</v>
      </c>
    </row>
    <row r="22" spans="1:4" ht="16" hidden="1">
      <c r="A22" s="17"/>
      <c r="B22" s="16"/>
      <c r="C22" s="15"/>
      <c r="D22" s="16">
        <f t="shared" si="0"/>
        <v>0</v>
      </c>
    </row>
    <row r="23" spans="1:4" ht="16" hidden="1">
      <c r="A23" s="17"/>
      <c r="B23" s="16"/>
      <c r="C23" s="15"/>
      <c r="D23" s="16">
        <f t="shared" si="0"/>
        <v>0</v>
      </c>
    </row>
    <row r="24" spans="1:4" ht="16" hidden="1">
      <c r="A24" s="17"/>
      <c r="B24" s="16"/>
      <c r="C24" s="15"/>
      <c r="D24" s="16">
        <f t="shared" si="0"/>
        <v>0</v>
      </c>
    </row>
    <row r="25" spans="1:4" ht="16" hidden="1">
      <c r="A25" s="17"/>
      <c r="B25" s="16"/>
      <c r="C25" s="15"/>
      <c r="D25" s="16">
        <f t="shared" si="0"/>
        <v>0</v>
      </c>
    </row>
    <row r="26" spans="1:4" ht="16" hidden="1">
      <c r="A26" s="17"/>
      <c r="B26" s="16"/>
      <c r="C26" s="15"/>
      <c r="D26" s="16">
        <f t="shared" si="0"/>
        <v>0</v>
      </c>
    </row>
    <row r="27" spans="1:4" ht="16" hidden="1">
      <c r="A27" s="17"/>
      <c r="B27" s="16"/>
      <c r="C27" s="15"/>
      <c r="D27" s="16">
        <f t="shared" si="0"/>
        <v>0</v>
      </c>
    </row>
    <row r="28" spans="1:4" ht="16" hidden="1">
      <c r="A28" s="17"/>
      <c r="B28" s="16"/>
      <c r="C28" s="15"/>
      <c r="D28" s="16">
        <f t="shared" si="0"/>
        <v>0</v>
      </c>
    </row>
    <row r="29" spans="1:4" ht="16" hidden="1">
      <c r="A29" s="17"/>
      <c r="B29" s="16"/>
      <c r="C29" s="15"/>
      <c r="D29" s="16">
        <f t="shared" si="0"/>
        <v>0</v>
      </c>
    </row>
    <row r="30" spans="1:4" ht="16" hidden="1">
      <c r="A30" s="17"/>
      <c r="B30" s="16"/>
      <c r="C30" s="15"/>
      <c r="D30" s="16">
        <f t="shared" si="0"/>
        <v>0</v>
      </c>
    </row>
    <row r="31" spans="1:4" ht="16" hidden="1">
      <c r="A31" s="17"/>
      <c r="B31" s="16"/>
      <c r="C31" s="15"/>
      <c r="D31" s="16">
        <f t="shared" si="0"/>
        <v>0</v>
      </c>
    </row>
    <row r="32" spans="1:4" ht="16" hidden="1">
      <c r="A32" s="17"/>
      <c r="B32" s="16"/>
      <c r="C32" s="15"/>
      <c r="D32" s="16">
        <f t="shared" si="0"/>
        <v>0</v>
      </c>
    </row>
    <row r="33" spans="1:4" ht="16" hidden="1">
      <c r="A33" s="17"/>
      <c r="B33" s="16"/>
      <c r="C33" s="15"/>
      <c r="D33" s="16">
        <f t="shared" si="0"/>
        <v>0</v>
      </c>
    </row>
    <row r="34" spans="1:4" ht="16" hidden="1">
      <c r="A34" s="17"/>
      <c r="B34" s="16"/>
      <c r="C34" s="15"/>
      <c r="D34" s="16">
        <f t="shared" si="0"/>
        <v>0</v>
      </c>
    </row>
    <row r="35" spans="1:4" ht="16" hidden="1">
      <c r="A35" s="17"/>
      <c r="B35" s="16"/>
      <c r="C35" s="15"/>
      <c r="D35" s="16">
        <f t="shared" si="0"/>
        <v>0</v>
      </c>
    </row>
    <row r="36" spans="1:4" ht="16" hidden="1">
      <c r="A36" s="17"/>
      <c r="B36" s="16"/>
      <c r="C36" s="15"/>
      <c r="D36" s="16">
        <f t="shared" si="0"/>
        <v>0</v>
      </c>
    </row>
    <row r="37" spans="1:4" ht="16" hidden="1">
      <c r="A37" s="17"/>
      <c r="B37" s="16"/>
      <c r="C37" s="15"/>
      <c r="D37" s="16">
        <f t="shared" si="0"/>
        <v>0</v>
      </c>
    </row>
    <row r="38" spans="1:4" ht="16" hidden="1">
      <c r="A38" s="17"/>
      <c r="B38" s="16"/>
      <c r="C38" s="15"/>
      <c r="D38" s="16">
        <f t="shared" si="0"/>
        <v>0</v>
      </c>
    </row>
    <row r="39" spans="1:4" ht="16" hidden="1">
      <c r="A39" s="17"/>
      <c r="B39" s="16"/>
      <c r="C39" s="15"/>
      <c r="D39" s="16">
        <f t="shared" si="0"/>
        <v>0</v>
      </c>
    </row>
    <row r="40" spans="1:4" ht="16" hidden="1">
      <c r="A40" s="17"/>
      <c r="B40" s="16"/>
      <c r="C40" s="15"/>
      <c r="D40" s="16">
        <f t="shared" si="0"/>
        <v>0</v>
      </c>
    </row>
    <row r="41" spans="1:4" ht="16" hidden="1">
      <c r="A41" s="17"/>
      <c r="B41" s="16"/>
      <c r="C41" s="15"/>
      <c r="D41" s="16">
        <f t="shared" si="0"/>
        <v>0</v>
      </c>
    </row>
    <row r="42" spans="1:4" ht="16" hidden="1">
      <c r="A42" s="17"/>
      <c r="B42" s="16"/>
      <c r="C42" s="15"/>
      <c r="D42" s="16">
        <f t="shared" si="0"/>
        <v>0</v>
      </c>
    </row>
    <row r="43" spans="1:4" ht="16" hidden="1">
      <c r="A43" s="17"/>
      <c r="B43" s="16"/>
      <c r="C43" s="15"/>
      <c r="D43" s="16">
        <f t="shared" si="0"/>
        <v>0</v>
      </c>
    </row>
    <row r="44" spans="1:4" ht="16" hidden="1">
      <c r="A44" s="17"/>
      <c r="B44" s="16"/>
      <c r="C44" s="15"/>
      <c r="D44" s="16">
        <f t="shared" si="0"/>
        <v>0</v>
      </c>
    </row>
    <row r="45" spans="1:4" ht="16" hidden="1">
      <c r="A45" s="17"/>
      <c r="B45" s="16"/>
      <c r="C45" s="15"/>
      <c r="D45" s="16">
        <f t="shared" si="0"/>
        <v>0</v>
      </c>
    </row>
    <row r="46" spans="1:4" ht="16" hidden="1">
      <c r="A46" s="17"/>
      <c r="B46" s="16"/>
      <c r="C46" s="15"/>
      <c r="D46" s="16">
        <f t="shared" si="0"/>
        <v>0</v>
      </c>
    </row>
    <row r="47" spans="1:4" ht="16" hidden="1">
      <c r="A47" s="17"/>
      <c r="B47" s="16"/>
      <c r="C47" s="15"/>
      <c r="D47" s="16">
        <f t="shared" si="0"/>
        <v>0</v>
      </c>
    </row>
    <row r="48" spans="1:4" ht="16" hidden="1">
      <c r="A48" s="17"/>
      <c r="B48" s="16"/>
      <c r="C48" s="15"/>
      <c r="D48" s="16">
        <f t="shared" si="0"/>
        <v>0</v>
      </c>
    </row>
    <row r="49" spans="1:4" ht="16" hidden="1">
      <c r="A49" s="17"/>
      <c r="B49" s="16"/>
      <c r="C49" s="15"/>
      <c r="D49" s="16">
        <f t="shared" si="0"/>
        <v>0</v>
      </c>
    </row>
    <row r="50" spans="1:4" ht="16" hidden="1">
      <c r="A50" s="17"/>
      <c r="B50" s="16"/>
      <c r="C50" s="15"/>
      <c r="D50" s="16">
        <f t="shared" si="0"/>
        <v>0</v>
      </c>
    </row>
    <row r="51" spans="1:4" ht="7.5" customHeight="1">
      <c r="A51" s="15"/>
      <c r="B51" s="16"/>
      <c r="C51" s="15"/>
      <c r="D51" s="15"/>
    </row>
    <row r="52" spans="1:4" ht="16">
      <c r="A52" s="15"/>
      <c r="B52" s="14" t="s">
        <v>14</v>
      </c>
      <c r="C52" s="14"/>
      <c r="D52" s="13">
        <f>SUM(D21:D51)</f>
        <v>0</v>
      </c>
    </row>
    <row r="53" spans="1:4" ht="16">
      <c r="A53" s="15"/>
      <c r="B53" s="14" t="s">
        <v>13</v>
      </c>
      <c r="C53" s="14"/>
      <c r="D53" s="13">
        <f>ROUNDDOWN(D52*0.08,0)</f>
        <v>0</v>
      </c>
    </row>
    <row r="54" spans="1:4" ht="22.5">
      <c r="A54" s="8"/>
      <c r="B54" s="12" t="s">
        <v>12</v>
      </c>
      <c r="C54" s="11"/>
      <c r="D54" s="10">
        <f>D52+D53</f>
        <v>0</v>
      </c>
    </row>
    <row r="55" spans="1:4" ht="19">
      <c r="A55" s="8"/>
      <c r="B55" s="8"/>
      <c r="C55" s="8"/>
      <c r="D55" s="8"/>
    </row>
    <row r="56" spans="1:4" ht="19">
      <c r="A56" s="8" t="s">
        <v>11</v>
      </c>
      <c r="B56" s="8"/>
      <c r="C56" s="8"/>
      <c r="D56" s="8"/>
    </row>
    <row r="57" spans="1:4" ht="78" customHeight="1">
      <c r="A57" s="9" t="s">
        <v>10</v>
      </c>
      <c r="B57" s="6"/>
      <c r="C57" s="6"/>
      <c r="D57" s="5"/>
    </row>
    <row r="58" spans="1:4" ht="19">
      <c r="A58" s="8"/>
      <c r="B58" s="8"/>
      <c r="C58" s="8"/>
      <c r="D58" s="8"/>
    </row>
    <row r="59" spans="1:4" ht="19">
      <c r="A59" s="8" t="s">
        <v>9</v>
      </c>
      <c r="B59" s="8"/>
      <c r="C59" s="8"/>
      <c r="D59" s="8"/>
    </row>
    <row r="60" spans="1:4" ht="57" customHeight="1">
      <c r="A60" s="7"/>
      <c r="B60" s="6"/>
      <c r="C60" s="6"/>
      <c r="D60" s="5"/>
    </row>
  </sheetData>
  <mergeCells count="1">
    <mergeCell ref="A1:D1"/>
  </mergeCells>
  <pageMargins left="0.7" right="0.7" top="0.75" bottom="0.75" header="0.3" footer="0.3"/>
  <pageSetup paperSize="9" scale="9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README</vt:lpstr>
      <vt:lpstr>請求データ</vt:lpstr>
      <vt:lpstr>請求データ日付つき</vt:lpstr>
      <vt:lpstr>請求データ取引先名つき</vt:lpstr>
      <vt:lpstr>取引先マスタ</vt:lpstr>
      <vt:lpstr>請求書ひな形</vt:lpstr>
      <vt:lpstr>請求書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uraya</dc:creator>
  <cp:lastModifiedBy>uraya</cp:lastModifiedBy>
  <dcterms:created xsi:type="dcterms:W3CDTF">2022-07-01T00:21:15Z</dcterms:created>
  <dcterms:modified xsi:type="dcterms:W3CDTF">2022-07-04T02:32:44Z</dcterms:modified>
</cp:coreProperties>
</file>